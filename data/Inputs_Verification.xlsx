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dd903d477a9e4d/02_ME/ME54015/OWF_Vessel-Fleet-Optimization/data/"/>
    </mc:Choice>
  </mc:AlternateContent>
  <xr:revisionPtr revIDLastSave="177" documentId="13_ncr:1_{4E655DA3-6644-44D5-B8A3-390376DF86AC}" xr6:coauthVersionLast="47" xr6:coauthVersionMax="47" xr10:uidLastSave="{78A73CF5-FAB6-4826-9880-E6899287D694}"/>
  <bookViews>
    <workbookView xWindow="-108" yWindow="-108" windowWidth="23256" windowHeight="12456" tabRatio="853" firstSheet="4" activeTab="4" xr2:uid="{5CDB4E5C-34BF-4466-8F20-CB91BE55E2BE}"/>
  </bookViews>
  <sheets>
    <sheet name="general" sheetId="5" r:id="rId1"/>
    <sheet name="bases" sheetId="1" r:id="rId2"/>
    <sheet name="vessels" sheetId="2" r:id="rId3"/>
    <sheet name="mother_vessels" sheetId="13" r:id="rId4"/>
    <sheet name="locations" sheetId="12" r:id="rId5"/>
    <sheet name="tasks" sheetId="3" r:id="rId6"/>
    <sheet name="spare_parts" sheetId="7" r:id="rId7"/>
    <sheet name="task_compatibility" sheetId="4" r:id="rId8"/>
    <sheet name="capacity_base_vessels" sheetId="6" r:id="rId9"/>
    <sheet name="holding_costs" sheetId="8" r:id="rId10"/>
    <sheet name="spare_parts_required" sheetId="9" r:id="rId11"/>
    <sheet name="max_capacity" sheetId="10" r:id="rId12"/>
    <sheet name="reorder_level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 a="1"/>
  <c r="A2" i="13" s="1"/>
  <c r="A2" i="12" a="1"/>
  <c r="A2" i="12" s="1"/>
  <c r="B1" i="11" s="1" a="1"/>
  <c r="B1" i="11" s="1"/>
  <c r="G2" i="2"/>
  <c r="A2" i="11" a="1"/>
  <c r="A2" i="11" s="1"/>
  <c r="A2" i="10" a="1"/>
  <c r="A2" i="10" s="1"/>
  <c r="B1" i="9" a="1"/>
  <c r="B1" i="9" s="1"/>
  <c r="A2" i="9" a="1"/>
  <c r="A2" i="9" s="1"/>
  <c r="A2" i="8" a="1"/>
  <c r="A2" i="8" s="1"/>
  <c r="B1" i="6" a="1"/>
  <c r="B1" i="6" s="1"/>
  <c r="A2" i="6" a="1"/>
  <c r="A2" i="6" s="1"/>
  <c r="B1" i="4" a="1"/>
  <c r="B1" i="4" s="1"/>
  <c r="A2" i="4" a="1"/>
  <c r="A2" i="4" s="1"/>
  <c r="B1" i="8" l="1" a="1"/>
  <c r="B1" i="8" s="1"/>
  <c r="B1" i="10" a="1"/>
  <c r="B1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<sst xmlns="http://schemas.openxmlformats.org/spreadsheetml/2006/main" count="50" uniqueCount="43">
  <si>
    <t>B1</t>
  </si>
  <si>
    <t>B2</t>
  </si>
  <si>
    <t>distance</t>
  </si>
  <si>
    <t>technicians_available</t>
  </si>
  <si>
    <t>cost</t>
  </si>
  <si>
    <t>V1</t>
  </si>
  <si>
    <t>Hslimit</t>
  </si>
  <si>
    <t>speed</t>
  </si>
  <si>
    <t>tech_cap</t>
  </si>
  <si>
    <t>transfer_time</t>
  </si>
  <si>
    <t>available</t>
  </si>
  <si>
    <t>max_time_offshore</t>
  </si>
  <si>
    <t>M1</t>
  </si>
  <si>
    <t>M3</t>
  </si>
  <si>
    <t>active_time</t>
  </si>
  <si>
    <t>technicians</t>
  </si>
  <si>
    <t>failure_rate</t>
  </si>
  <si>
    <t>repair_cost</t>
  </si>
  <si>
    <t>PRE/COR</t>
  </si>
  <si>
    <t>PRE</t>
  </si>
  <si>
    <t>COR</t>
  </si>
  <si>
    <t>preventive_rate</t>
  </si>
  <si>
    <t>turbines</t>
  </si>
  <si>
    <t>planning_horizon</t>
  </si>
  <si>
    <t>SET</t>
  </si>
  <si>
    <t>charter_period</t>
  </si>
  <si>
    <t>cost_charter_day</t>
  </si>
  <si>
    <t>cost_purchase</t>
  </si>
  <si>
    <t>cost_operation</t>
  </si>
  <si>
    <t>cost_technicians</t>
  </si>
  <si>
    <t>cost_downtime</t>
  </si>
  <si>
    <t>penalty_cost_late</t>
  </si>
  <si>
    <t>penalty_cost_not_performed</t>
  </si>
  <si>
    <t>latest_period</t>
  </si>
  <si>
    <t>S1</t>
  </si>
  <si>
    <t>order_cost</t>
  </si>
  <si>
    <t>lead_time</t>
  </si>
  <si>
    <t>MV</t>
  </si>
  <si>
    <t>V4</t>
  </si>
  <si>
    <t>max_capacity_for_docking</t>
  </si>
  <si>
    <t>additional_time</t>
  </si>
  <si>
    <t>tech_standby_cost</t>
  </si>
  <si>
    <t>initial_inventory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</si>
</sst>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4A6AC0-D394-4B67-A264-8A2E160E11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1955-FB00-4A13-9841-9B985EEEFB62}">
  <dimension ref="A1:I2"/>
  <sheetViews>
    <sheetView workbookViewId="0">
      <selection activeCell="I13" sqref="I13"/>
    </sheetView>
  </sheetViews>
  <sheetFormatPr defaultRowHeight="14.4" x14ac:dyDescent="0.3"/>
  <cols>
    <col min="1" max="2" width="14.5546875" bestFit="1" customWidth="1"/>
    <col min="3" max="3" width="12.77734375" bestFit="1" customWidth="1"/>
    <col min="4" max="4" width="14.6640625" bestFit="1" customWidth="1"/>
    <col min="5" max="5" width="13.21875" bestFit="1" customWidth="1"/>
    <col min="6" max="6" width="20.21875" bestFit="1" customWidth="1"/>
    <col min="7" max="7" width="25.6640625" bestFit="1" customWidth="1"/>
    <col min="8" max="8" width="11.33203125" bestFit="1" customWidth="1"/>
    <col min="9" max="9" width="15.33203125" bestFit="1" customWidth="1"/>
  </cols>
  <sheetData>
    <row r="1" spans="1:9" x14ac:dyDescent="0.3">
      <c r="A1" t="s">
        <v>22</v>
      </c>
      <c r="B1" t="s">
        <v>23</v>
      </c>
      <c r="C1" t="s">
        <v>25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41</v>
      </c>
    </row>
    <row r="2" spans="1:9" x14ac:dyDescent="0.3">
      <c r="A2">
        <v>30</v>
      </c>
      <c r="B2">
        <v>90</v>
      </c>
      <c r="C2">
        <v>30</v>
      </c>
      <c r="D2">
        <v>50</v>
      </c>
      <c r="E2">
        <v>500</v>
      </c>
      <c r="F2">
        <v>20000</v>
      </c>
      <c r="G2">
        <v>1000000</v>
      </c>
      <c r="H2">
        <v>80</v>
      </c>
      <c r="I2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E241-D090-4C23-9A88-3F3C92E70F61}">
  <dimension ref="A1:D3"/>
  <sheetViews>
    <sheetView workbookViewId="0">
      <selection activeCell="D4" sqref="D4"/>
    </sheetView>
  </sheetViews>
  <sheetFormatPr defaultRowHeight="14.4" x14ac:dyDescent="0.3"/>
  <cols>
    <col min="1" max="1" width="8.88671875" customWidth="1"/>
  </cols>
  <sheetData>
    <row r="1" spans="1:4" x14ac:dyDescent="0.3">
      <c r="A1" t="s">
        <v>24</v>
      </c>
      <c r="B1" t="s">
        <v>2</v>
      </c>
      <c r="C1" t="s">
        <v>3</v>
      </c>
      <c r="D1" t="s">
        <v>4</v>
      </c>
    </row>
    <row r="2" spans="1:4" x14ac:dyDescent="0.3">
      <c r="A2" t="s">
        <v>0</v>
      </c>
      <c r="B2">
        <v>60</v>
      </c>
      <c r="C2">
        <v>20</v>
      </c>
      <c r="D2">
        <v>550000</v>
      </c>
    </row>
    <row r="3" spans="1:4" x14ac:dyDescent="0.3">
      <c r="A3" t="s">
        <v>1</v>
      </c>
      <c r="B3">
        <v>60</v>
      </c>
      <c r="C3">
        <v>20</v>
      </c>
      <c r="D3">
        <v>550000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29D5-4392-4795-B324-B7E69B03092B}">
  <dimension ref="A1:L4"/>
  <sheetViews>
    <sheetView workbookViewId="0">
      <selection activeCell="J4" sqref="J4"/>
    </sheetView>
  </sheetViews>
  <sheetFormatPr defaultRowHeight="14.4" x14ac:dyDescent="0.3"/>
  <cols>
    <col min="5" max="5" width="14.77734375" bestFit="1" customWidth="1"/>
    <col min="7" max="7" width="11.6640625" bestFit="1" customWidth="1"/>
    <col min="9" max="9" width="16.21875" bestFit="1" customWidth="1"/>
    <col min="10" max="10" width="12.77734375" bestFit="1" customWidth="1"/>
    <col min="11" max="11" width="14.5546875" customWidth="1"/>
    <col min="12" max="12" width="12.77734375" bestFit="1" customWidth="1"/>
  </cols>
  <sheetData>
    <row r="1" spans="1:12" x14ac:dyDescent="0.3">
      <c r="A1" t="s">
        <v>24</v>
      </c>
      <c r="B1" t="s">
        <v>37</v>
      </c>
      <c r="C1" t="s">
        <v>6</v>
      </c>
      <c r="D1" t="s">
        <v>7</v>
      </c>
      <c r="E1" t="s">
        <v>26</v>
      </c>
      <c r="F1" t="s">
        <v>8</v>
      </c>
      <c r="G1" t="s">
        <v>9</v>
      </c>
      <c r="H1" t="s">
        <v>10</v>
      </c>
      <c r="I1" t="s">
        <v>11</v>
      </c>
      <c r="J1" t="s">
        <v>27</v>
      </c>
      <c r="K1" t="s">
        <v>28</v>
      </c>
      <c r="L1" t="s">
        <v>40</v>
      </c>
    </row>
    <row r="2" spans="1:12" x14ac:dyDescent="0.3">
      <c r="A2" t="s">
        <v>5</v>
      </c>
      <c r="B2">
        <v>0</v>
      </c>
      <c r="C2" s="1">
        <v>2</v>
      </c>
      <c r="D2">
        <v>20</v>
      </c>
      <c r="E2">
        <v>166.67</v>
      </c>
      <c r="F2">
        <v>10</v>
      </c>
      <c r="G2">
        <f>15/60</f>
        <v>0.25</v>
      </c>
      <c r="H2">
        <v>5</v>
      </c>
      <c r="I2">
        <v>12</v>
      </c>
      <c r="J2">
        <v>10000</v>
      </c>
      <c r="K2">
        <v>166.67</v>
      </c>
      <c r="L2">
        <v>36</v>
      </c>
    </row>
    <row r="3" spans="1:12" x14ac:dyDescent="0.3">
      <c r="A3" t="s">
        <v>38</v>
      </c>
      <c r="B3">
        <v>1</v>
      </c>
      <c r="C3">
        <v>4</v>
      </c>
      <c r="D3">
        <v>18</v>
      </c>
      <c r="E3">
        <v>800</v>
      </c>
      <c r="F3">
        <v>40</v>
      </c>
      <c r="G3">
        <v>0</v>
      </c>
      <c r="H3">
        <v>1</v>
      </c>
      <c r="I3">
        <v>168</v>
      </c>
      <c r="J3">
        <v>20000</v>
      </c>
      <c r="K3">
        <v>50</v>
      </c>
      <c r="L3">
        <v>0</v>
      </c>
    </row>
    <row r="4" spans="1:12" x14ac:dyDescent="0.3">
      <c r="C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61F4-8CE3-4B3A-93AF-60EFCE35F0D1}">
  <dimension ref="A1:A2"/>
  <sheetViews>
    <sheetView workbookViewId="0">
      <selection activeCell="B1" sqref="B1:B3"/>
    </sheetView>
  </sheetViews>
  <sheetFormatPr defaultRowHeight="14.4" x14ac:dyDescent="0.3"/>
  <cols>
    <col min="2" max="2" width="13.44140625" bestFit="1" customWidth="1"/>
  </cols>
  <sheetData>
    <row r="1" spans="1:1" x14ac:dyDescent="0.3">
      <c r="A1" t="s">
        <v>24</v>
      </c>
    </row>
    <row r="2" spans="1:1" x14ac:dyDescent="0.3">
      <c r="A2" t="str" cm="1">
        <f t="array" ref="A2">_xlfn._xlws.FILTER(vessels!A2:A100, vessels!B2:B100 = 1)</f>
        <v>V4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1D42-2EA6-4A74-ACE3-149C8A508F63}">
  <dimension ref="A1:E4"/>
  <sheetViews>
    <sheetView tabSelected="1" workbookViewId="0">
      <selection activeCell="E8" sqref="E8"/>
    </sheetView>
  </sheetViews>
  <sheetFormatPr defaultRowHeight="14.4" x14ac:dyDescent="0.3"/>
  <cols>
    <col min="3" max="3" width="21.33203125" bestFit="1" customWidth="1"/>
    <col min="4" max="4" width="18.44140625" bestFit="1" customWidth="1"/>
    <col min="5" max="5" width="13.44140625" bestFit="1" customWidth="1"/>
  </cols>
  <sheetData>
    <row r="1" spans="1:5" x14ac:dyDescent="0.3">
      <c r="A1" t="s">
        <v>24</v>
      </c>
      <c r="B1" t="s">
        <v>2</v>
      </c>
      <c r="C1" t="s">
        <v>39</v>
      </c>
      <c r="D1" t="s">
        <v>3</v>
      </c>
      <c r="E1" t="s">
        <v>42</v>
      </c>
    </row>
    <row r="2" spans="1:5" x14ac:dyDescent="0.3">
      <c r="A2" t="str" cm="1">
        <f t="array" ref="A2:A4">_xlfn.LET(
    _xlpm.baseList, _xlfn._xlws.FILTER(bases!A2:A100, bases!A2:A100 &lt;&gt; ""),
    _xlpm.vesselList, _xlfn._xlws.FILTER(vessels!A2:A100, vessels!B2:B100 = 1),
    _xlfn.VSTACK(_xlpm.baseList, _xlpm.vesselList)
)</f>
        <v>B1</v>
      </c>
      <c r="B2">
        <v>60</v>
      </c>
      <c r="C2">
        <v>0</v>
      </c>
      <c r="D2">
        <v>20</v>
      </c>
      <c r="E2">
        <v>150</v>
      </c>
    </row>
    <row r="3" spans="1:5" x14ac:dyDescent="0.3">
      <c r="A3" t="str">
        <v>B2</v>
      </c>
      <c r="B3">
        <v>60</v>
      </c>
      <c r="C3">
        <v>0</v>
      </c>
      <c r="D3">
        <v>20</v>
      </c>
      <c r="E3">
        <v>150</v>
      </c>
    </row>
    <row r="4" spans="1:5" x14ac:dyDescent="0.3">
      <c r="A4" t="str">
        <v>V4</v>
      </c>
      <c r="B4">
        <v>1</v>
      </c>
      <c r="C4">
        <v>2</v>
      </c>
      <c r="D4">
        <v>12</v>
      </c>
      <c r="E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AD3B-D68B-43E0-80DF-E258B870C86F}">
  <dimension ref="A1:G3"/>
  <sheetViews>
    <sheetView workbookViewId="0">
      <selection activeCell="E8" sqref="E8"/>
    </sheetView>
  </sheetViews>
  <sheetFormatPr defaultRowHeight="14.4" x14ac:dyDescent="0.3"/>
  <cols>
    <col min="3" max="3" width="10.109375" bestFit="1" customWidth="1"/>
    <col min="4" max="4" width="10.33203125" bestFit="1" customWidth="1"/>
    <col min="5" max="5" width="10.109375" bestFit="1" customWidth="1"/>
    <col min="6" max="6" width="10" bestFit="1" customWidth="1"/>
  </cols>
  <sheetData>
    <row r="1" spans="1:7" x14ac:dyDescent="0.3">
      <c r="A1" t="s">
        <v>24</v>
      </c>
      <c r="B1" t="s">
        <v>18</v>
      </c>
      <c r="C1" t="s">
        <v>14</v>
      </c>
      <c r="D1" t="s">
        <v>15</v>
      </c>
      <c r="E1" t="s">
        <v>16</v>
      </c>
      <c r="F1" t="s">
        <v>17</v>
      </c>
      <c r="G1" t="s">
        <v>21</v>
      </c>
    </row>
    <row r="2" spans="1:7" x14ac:dyDescent="0.3">
      <c r="A2" t="s">
        <v>12</v>
      </c>
      <c r="B2" t="s">
        <v>20</v>
      </c>
      <c r="C2">
        <v>3</v>
      </c>
      <c r="D2">
        <v>2</v>
      </c>
      <c r="E2">
        <v>4</v>
      </c>
      <c r="F2">
        <v>2500</v>
      </c>
      <c r="G2">
        <v>0</v>
      </c>
    </row>
    <row r="3" spans="1:7" x14ac:dyDescent="0.3">
      <c r="A3" t="s">
        <v>13</v>
      </c>
      <c r="B3" t="s">
        <v>19</v>
      </c>
      <c r="C3">
        <v>12</v>
      </c>
      <c r="D3">
        <v>5</v>
      </c>
      <c r="E3">
        <v>0</v>
      </c>
      <c r="F3">
        <v>12500</v>
      </c>
      <c r="G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4280-C602-45CD-AF71-2077C88A1536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24</v>
      </c>
      <c r="B1" t="s">
        <v>35</v>
      </c>
      <c r="C1" t="s">
        <v>36</v>
      </c>
    </row>
    <row r="2" spans="1:3" x14ac:dyDescent="0.3">
      <c r="A2" t="s">
        <v>34</v>
      </c>
      <c r="B2">
        <v>1</v>
      </c>
      <c r="C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0F74-5991-4DF7-ADB4-D8FEE6BDA60A}">
  <dimension ref="A1:C3"/>
  <sheetViews>
    <sheetView workbookViewId="0">
      <selection activeCell="B4" sqref="B4:C4"/>
    </sheetView>
  </sheetViews>
  <sheetFormatPr defaultRowHeight="14.4" x14ac:dyDescent="0.3"/>
  <sheetData>
    <row r="1" spans="1:3" x14ac:dyDescent="0.3">
      <c r="B1" t="str" cm="1">
        <f t="array" ref="B1:C1">TRANSPOSE(_xlfn._xlws.FILTER(vessels!A2:A100, vessels!A2:A100&lt;&gt;""))</f>
        <v>V1</v>
      </c>
      <c r="C1" t="str">
        <v>V4</v>
      </c>
    </row>
    <row r="2" spans="1:3" x14ac:dyDescent="0.3">
      <c r="A2" t="str" cm="1">
        <f t="array" ref="A2:A3">_xlfn._xlws.FILTER(tasks!A2:A100, tasks!A2:A100&lt;&gt;"")</f>
        <v>M1</v>
      </c>
      <c r="B2">
        <v>1</v>
      </c>
      <c r="C2">
        <v>0</v>
      </c>
    </row>
    <row r="3" spans="1:3" x14ac:dyDescent="0.3">
      <c r="A3" t="str">
        <v>M3</v>
      </c>
      <c r="B3">
        <v>1</v>
      </c>
      <c r="C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7950-5805-40E5-8CB7-09BB0C8D59D5}">
  <dimension ref="A1:C3"/>
  <sheetViews>
    <sheetView workbookViewId="0">
      <selection activeCell="C3" sqref="C3"/>
    </sheetView>
  </sheetViews>
  <sheetFormatPr defaultRowHeight="14.4" x14ac:dyDescent="0.3"/>
  <sheetData>
    <row r="1" spans="1:3" x14ac:dyDescent="0.3">
      <c r="B1" t="str" cm="1">
        <f t="array" ref="B1:C1">TRANSPOSE(_xlfn._xlws.FILTER(vessels!A2:A100, vessels!A2:A100&lt;&gt;""))</f>
        <v>V1</v>
      </c>
      <c r="C1" t="str">
        <v>V4</v>
      </c>
    </row>
    <row r="2" spans="1:3" x14ac:dyDescent="0.3">
      <c r="A2" t="str" cm="1">
        <f t="array" ref="A2:A3">_xlfn._xlws.FILTER(bases!A2:A100, bases!A2:A100&lt;&gt;"")</f>
        <v>B1</v>
      </c>
      <c r="B2">
        <v>4</v>
      </c>
      <c r="C2">
        <v>1</v>
      </c>
    </row>
    <row r="3" spans="1:3" x14ac:dyDescent="0.3">
      <c r="A3" t="str">
        <v>B2</v>
      </c>
      <c r="B3">
        <v>4</v>
      </c>
      <c r="C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2CC8-B9D8-4FE5-960B-9B0984034D8D}">
  <dimension ref="A1:D2"/>
  <sheetViews>
    <sheetView workbookViewId="0">
      <selection activeCell="B3" sqref="B3"/>
    </sheetView>
  </sheetViews>
  <sheetFormatPr defaultRowHeight="14.4" x14ac:dyDescent="0.3"/>
  <sheetData>
    <row r="1" spans="1:4" x14ac:dyDescent="0.3">
      <c r="B1" t="str" cm="1">
        <f t="array" ref="B1:D1">TRANSPOSE(_xlfn._xlws.FILTER(locations!A2:A100, locations!A2:A100&lt;&gt;""))</f>
        <v>B1</v>
      </c>
      <c r="C1" t="str">
        <v>B2</v>
      </c>
      <c r="D1" t="str">
        <v>V4</v>
      </c>
    </row>
    <row r="2" spans="1:4" x14ac:dyDescent="0.3">
      <c r="A2" t="str" cm="1">
        <f t="array" ref="A2">_xlfn._xlws.FILTER(spare_parts!A2:A100, spare_parts!A2:A100&lt;&gt;"")</f>
        <v>S1</v>
      </c>
      <c r="B2">
        <v>100</v>
      </c>
      <c r="C2">
        <v>1</v>
      </c>
      <c r="D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DE46-A218-4D87-9847-C01D7AFA5102}">
  <dimension ref="A1:C2"/>
  <sheetViews>
    <sheetView workbookViewId="0">
      <selection activeCell="D2" sqref="D2"/>
    </sheetView>
  </sheetViews>
  <sheetFormatPr defaultRowHeight="14.4" x14ac:dyDescent="0.3"/>
  <sheetData>
    <row r="1" spans="1:3" x14ac:dyDescent="0.3">
      <c r="B1" t="str" cm="1">
        <f t="array" ref="B1:C1">TRANSPOSE(_xlfn._xlws.FILTER(tasks!A2:A100, tasks!A2:A100&lt;&gt;""))</f>
        <v>M1</v>
      </c>
      <c r="C1" t="str">
        <v>M3</v>
      </c>
    </row>
    <row r="2" spans="1:3" x14ac:dyDescent="0.3">
      <c r="A2" t="str" cm="1">
        <f t="array" ref="A2">_xlfn._xlws.FILTER(spare_parts!A2:A100, spare_parts!A2:A100&lt;&gt;"")</f>
        <v>S1</v>
      </c>
      <c r="B2">
        <v>1</v>
      </c>
      <c r="C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B446-56D8-4850-8B54-9A701C7360FF}">
  <dimension ref="A1:D2"/>
  <sheetViews>
    <sheetView workbookViewId="0">
      <selection activeCell="B3" sqref="B3:D3"/>
    </sheetView>
  </sheetViews>
  <sheetFormatPr defaultRowHeight="14.4" x14ac:dyDescent="0.3"/>
  <sheetData>
    <row r="1" spans="1:4" x14ac:dyDescent="0.3">
      <c r="B1" t="str" cm="1">
        <f t="array" ref="B1:D1">TRANSPOSE(_xlfn._xlws.FILTER(locations!A2:A100, locations!A2:A100&lt;&gt;""))</f>
        <v>B1</v>
      </c>
      <c r="C1" t="str">
        <v>B2</v>
      </c>
      <c r="D1" t="str">
        <v>V4</v>
      </c>
    </row>
    <row r="2" spans="1:4" x14ac:dyDescent="0.3">
      <c r="A2" t="str" cm="1">
        <f t="array" ref="A2">_xlfn._xlws.FILTER(spare_parts!A2:A100, spare_parts!A2:A100&lt;&gt;"")</f>
        <v>S1</v>
      </c>
      <c r="B2">
        <v>200</v>
      </c>
      <c r="C2">
        <v>200</v>
      </c>
      <c r="D2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D8D2-6DC6-477C-BD52-3078DFB872A3}">
  <dimension ref="A1:D2"/>
  <sheetViews>
    <sheetView workbookViewId="0">
      <selection activeCell="O20" sqref="O20"/>
    </sheetView>
  </sheetViews>
  <sheetFormatPr defaultRowHeight="14.4" x14ac:dyDescent="0.3"/>
  <sheetData>
    <row r="1" spans="1:4" x14ac:dyDescent="0.3">
      <c r="B1" t="str" cm="1">
        <f t="array" ref="B1:D1">TRANSPOSE(_xlfn._xlws.FILTER(locations!A2:A100, locations!A2:A100&lt;&gt;""))</f>
        <v>B1</v>
      </c>
      <c r="C1" t="str">
        <v>B2</v>
      </c>
      <c r="D1" t="str">
        <v>V4</v>
      </c>
    </row>
    <row r="2" spans="1:4" x14ac:dyDescent="0.3">
      <c r="A2" t="str" cm="1">
        <f t="array" ref="A2">_xlfn._xlws.FILTER(spare_parts!A2:A100, spare_parts!A2:A100&lt;&gt;"")</f>
        <v>S1</v>
      </c>
      <c r="B2">
        <v>50</v>
      </c>
      <c r="C2">
        <v>50</v>
      </c>
      <c r="D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</vt:lpstr>
      <vt:lpstr>bases</vt:lpstr>
      <vt:lpstr>vessels</vt:lpstr>
      <vt:lpstr>mother_vessels</vt:lpstr>
      <vt:lpstr>locations</vt:lpstr>
      <vt:lpstr>tasks</vt:lpstr>
      <vt:lpstr>spare_parts</vt:lpstr>
      <vt:lpstr>task_compatibility</vt:lpstr>
      <vt:lpstr>capacity_base_vessels</vt:lpstr>
      <vt:lpstr>holding_costs</vt:lpstr>
      <vt:lpstr>spare_parts_required</vt:lpstr>
      <vt:lpstr>max_capacity</vt:lpstr>
      <vt:lpstr>reorder_level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Mischa</dc:creator>
  <cp:lastModifiedBy>Mischa de Gooijer</cp:lastModifiedBy>
  <dcterms:created xsi:type="dcterms:W3CDTF">2025-04-19T08:30:15Z</dcterms:created>
  <dcterms:modified xsi:type="dcterms:W3CDTF">2025-06-12T18:04:02Z</dcterms:modified>
</cp:coreProperties>
</file>